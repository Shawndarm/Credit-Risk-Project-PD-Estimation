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utau\Desktop\Credit &amp; Scoring\Projet_credit_Dutauziet_Ragala_Nguessan\result\4_grille_de_score\"/>
    </mc:Choice>
  </mc:AlternateContent>
  <xr:revisionPtr revIDLastSave="0" documentId="8_{EEF5359E-5C4D-4393-8DEC-B25BCC2ABB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O16" i="1" a="1"/>
  <c r="O16" i="1" s="1"/>
  <c r="O17" i="1" a="1"/>
  <c r="O17" i="1"/>
  <c r="O18" i="1" a="1"/>
  <c r="O18" i="1" s="1"/>
  <c r="O15" i="1" a="1"/>
  <c r="O15" i="1" s="1"/>
  <c r="O12" i="1" a="1"/>
  <c r="O12" i="1" s="1"/>
  <c r="O13" i="1" a="1"/>
  <c r="O13" i="1"/>
  <c r="O14" i="1" a="1"/>
  <c r="O14" i="1" s="1"/>
  <c r="O11" i="1" a="1"/>
  <c r="O11" i="1" s="1"/>
  <c r="O10" i="1" a="1"/>
  <c r="O10" i="1"/>
  <c r="O9" i="1" a="1"/>
  <c r="O9" i="1" s="1"/>
  <c r="O7" i="1" a="1"/>
  <c r="O7" i="1" s="1"/>
  <c r="O8" i="1" a="1"/>
  <c r="O8" i="1" s="1"/>
  <c r="O6" i="1" a="1"/>
  <c r="O6" i="1" s="1"/>
  <c r="O3" i="1" a="1"/>
  <c r="O3" i="1"/>
  <c r="O4" i="1" a="1"/>
  <c r="O4" i="1" s="1"/>
  <c r="O5" i="1" a="1"/>
  <c r="O5" i="1" s="1"/>
  <c r="O2" i="1" a="1"/>
  <c r="O2" i="1" s="1"/>
  <c r="N10" i="1"/>
  <c r="N9" i="1"/>
  <c r="N7" i="1"/>
  <c r="N8" i="1"/>
  <c r="N6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4" i="1"/>
  <c r="M5" i="1"/>
  <c r="M2" i="1"/>
  <c r="M3" i="1"/>
  <c r="L16" i="1"/>
  <c r="L17" i="1"/>
  <c r="L18" i="1"/>
  <c r="L15" i="1"/>
  <c r="K15" i="1"/>
  <c r="N18" i="1" s="1"/>
  <c r="L12" i="1"/>
  <c r="L13" i="1"/>
  <c r="L14" i="1"/>
  <c r="L11" i="1"/>
  <c r="K11" i="1"/>
  <c r="N13" i="1" s="1"/>
  <c r="L10" i="1"/>
  <c r="L9" i="1"/>
  <c r="K9" i="1"/>
  <c r="L7" i="1"/>
  <c r="L8" i="1"/>
  <c r="L6" i="1"/>
  <c r="K6" i="1"/>
  <c r="L3" i="1"/>
  <c r="L4" i="1"/>
  <c r="L5" i="1"/>
  <c r="L2" i="1"/>
  <c r="K2" i="1"/>
  <c r="K16" i="1"/>
  <c r="K17" i="1"/>
  <c r="K18" i="1"/>
  <c r="K12" i="1"/>
  <c r="K13" i="1"/>
  <c r="K14" i="1"/>
  <c r="K10" i="1"/>
  <c r="K7" i="1"/>
  <c r="K8" i="1"/>
  <c r="K5" i="1"/>
  <c r="K3" i="1"/>
  <c r="K4" i="1"/>
  <c r="N11" i="1" l="1"/>
  <c r="N12" i="1"/>
  <c r="N17" i="1"/>
  <c r="N2" i="1"/>
  <c r="N16" i="1"/>
  <c r="N4" i="1"/>
  <c r="N14" i="1"/>
  <c r="N15" i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<sst xmlns="http://schemas.openxmlformats.org/spreadsheetml/2006/main" count="90" uniqueCount="53">
  <si>
    <t>Variable</t>
  </si>
  <si>
    <t>Modalité</t>
  </si>
  <si>
    <t>Bornes modalité</t>
  </si>
  <si>
    <t>Effectif</t>
  </si>
  <si>
    <t>Coefficient</t>
  </si>
  <si>
    <t>Note</t>
  </si>
  <si>
    <t>Contribution</t>
  </si>
  <si>
    <t>Taux de défaut observé</t>
  </si>
  <si>
    <t>p-value</t>
  </si>
  <si>
    <t>Significativité</t>
  </si>
  <si>
    <t>loan_percent_income</t>
  </si>
  <si>
    <t>loan_percent_income_0 (Référence)</t>
  </si>
  <si>
    <t>]-∞, 0.15]</t>
  </si>
  <si>
    <t>_</t>
  </si>
  <si>
    <t>loan_percent_income_1</t>
  </si>
  <si>
    <t>]0.15, 0.25]</t>
  </si>
  <si>
    <t>***</t>
  </si>
  <si>
    <t>loan_percent_income_2</t>
  </si>
  <si>
    <t>]0.25, 0.30]</t>
  </si>
  <si>
    <t>loan_percent_income_3</t>
  </si>
  <si>
    <t>]0.30, +∞[</t>
  </si>
  <si>
    <t>person_home_ownership</t>
  </si>
  <si>
    <t>person_home_ownership_0 (Référence)</t>
  </si>
  <si>
    <t>Modalité 0</t>
  </si>
  <si>
    <t>person_home_ownership_1</t>
  </si>
  <si>
    <t>Modalité 1</t>
  </si>
  <si>
    <t>person_home_ownership_2</t>
  </si>
  <si>
    <t>Modalité 2</t>
  </si>
  <si>
    <t>cb_person_default_on_file</t>
  </si>
  <si>
    <t>cb_person_default_on_file_0 (Référence)</t>
  </si>
  <si>
    <t>cb_person_default_on_file_1</t>
  </si>
  <si>
    <t>person_income</t>
  </si>
  <si>
    <t>person_income_0</t>
  </si>
  <si>
    <t>]-∞, 28590.00]</t>
  </si>
  <si>
    <t>person_income_1</t>
  </si>
  <si>
    <t>]28590.00, 35000.00]</t>
  </si>
  <si>
    <t>person_income_2</t>
  </si>
  <si>
    <t>]35000.00, 63000.00]</t>
  </si>
  <si>
    <t>person_income_3 (Référence)</t>
  </si>
  <si>
    <t>]63000.00, +∞[</t>
  </si>
  <si>
    <t>loan_intent</t>
  </si>
  <si>
    <t>loan_intent_0</t>
  </si>
  <si>
    <t>loan_intent_1</t>
  </si>
  <si>
    <t>loan_intent_2</t>
  </si>
  <si>
    <t>loan_intent_3 (Référence)</t>
  </si>
  <si>
    <t>Modalité 3</t>
  </si>
  <si>
    <t>Note Aryan</t>
  </si>
  <si>
    <t>Note Roland</t>
  </si>
  <si>
    <t>r_j</t>
  </si>
  <si>
    <t>N_avg_i</t>
  </si>
  <si>
    <t>C_i</t>
  </si>
  <si>
    <t>num</t>
  </si>
  <si>
    <t>denom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</si>
</sst>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B1" workbookViewId="0">
      <selection activeCell="J21" sqref="J21"/>
    </sheetView>
  </sheetViews>
  <sheetFormatPr baseColWidth="10" defaultColWidth="9.06640625" defaultRowHeight="14.25" x14ac:dyDescent="0.45"/>
  <cols>
    <col min="1" max="1" width="21.796875" bestFit="1" customWidth="1"/>
    <col min="2" max="2" width="33.3984375" bestFit="1" customWidth="1"/>
    <col min="3" max="3" width="17.86328125" bestFit="1" customWidth="1"/>
    <col min="7" max="7" width="11.06640625" bestFit="1" customWidth="1"/>
    <col min="8" max="8" width="19.9296875" bestFit="1" customWidth="1"/>
    <col min="10" max="10" width="11.59765625" bestFit="1" customWidth="1"/>
    <col min="11" max="11" width="11.73046875" bestFit="1" customWidth="1"/>
    <col min="12" max="12" width="10.863281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51</v>
      </c>
      <c r="P1" s="2" t="s">
        <v>52</v>
      </c>
      <c r="Q1" s="2" t="s">
        <v>50</v>
      </c>
    </row>
    <row r="2" spans="1:17" x14ac:dyDescent="0.45">
      <c r="A2" t="s">
        <v>10</v>
      </c>
      <c r="B2" t="s">
        <v>11</v>
      </c>
      <c r="C2" t="s">
        <v>12</v>
      </c>
      <c r="D2">
        <v>17185</v>
      </c>
      <c r="E2">
        <v>0</v>
      </c>
      <c r="F2">
        <v>324.27</v>
      </c>
      <c r="G2">
        <v>0.66239999999999999</v>
      </c>
      <c r="H2">
        <v>0.1215</v>
      </c>
      <c r="I2" t="s">
        <v>13</v>
      </c>
      <c r="J2" t="s">
        <v>13</v>
      </c>
      <c r="K2">
        <f>1000*ABS(MAX($E$2:$E$5)-E2)/(MAX($E$2:$E$5)-MIN($E$2:$E$5)+MAX($E$6:$E$8)-MIN($E$6:$E$8)+MAX($E$9:$E$10)-MIN($E$9:$E$10)+MAX($E$11:E14)-MIN($E$11:$E$14)+MAX($E$15:$E$18)-MIN($E$15:$E$18))</f>
        <v>324.27703684141022</v>
      </c>
      <c r="L2">
        <f>1000*ABS(MIN($E$2:$E$5)-E2)/(MAX($E$2:$E$5)-MIN($E$2:$E$5)+MAX($E$6:$E$8)-MIN($E$6:$E$8)+MAX($E$9:$E$10)-MIN($E$9:$E$10)+MAX($E$11:E14)-MIN($E$11:$E$14)+MAX($E$15:$E$18)-MIN($E$15:$E$18))</f>
        <v>0</v>
      </c>
      <c r="M2" s="3">
        <f>D2/SUM($D$2:$D$5)</f>
        <v>0.52760039297556183</v>
      </c>
      <c r="N2">
        <f>AVERAGE($K$2:$K$5)</f>
        <v>217.16954971609664</v>
      </c>
      <c r="O2" cm="1">
        <f t="array" ref="O2">SQRT(SUMPRODUCT($M$2:$M$5,(($K$2:$K$5-$N$2:$N$5)^2)))</f>
        <v>114.58186700892983</v>
      </c>
      <c r="P2">
        <f>$O$2+$O$6+$O$9+$O$11+$O$15</f>
        <v>384.52808264706204</v>
      </c>
      <c r="Q2">
        <f>O2/P2</f>
        <v>0.29798049136010296</v>
      </c>
    </row>
    <row r="3" spans="1:17" x14ac:dyDescent="0.45">
      <c r="A3" t="s">
        <v>10</v>
      </c>
      <c r="B3" t="s">
        <v>14</v>
      </c>
      <c r="C3" t="s">
        <v>15</v>
      </c>
      <c r="D3">
        <v>9110</v>
      </c>
      <c r="E3">
        <v>0.3276</v>
      </c>
      <c r="F3">
        <v>288.23</v>
      </c>
      <c r="G3">
        <v>0.66239999999999999</v>
      </c>
      <c r="H3">
        <v>0.1862</v>
      </c>
      <c r="I3">
        <v>3.0261298217123642E-13</v>
      </c>
      <c r="J3" t="s">
        <v>16</v>
      </c>
      <c r="K3">
        <f>1000*ABS(MAX($E$2:$E$5)-E3)/(MAX($E$2:$E$5)-MIN($E$2:$E$5)+MAX($E$6:$E$8)-MIN($E$6:$E$8)+MAX($E$9:$E$10)-MIN($E$9:$E$10)+MAX($E$11:E15)-MIN($E$11:$E$14)+MAX($E$15:$E$18)-MIN($E$15:$E$18))</f>
        <v>288.22791496104583</v>
      </c>
      <c r="L3">
        <f>1000*ABS(MIN($E$2:$E$5)-E3)/(MAX($E$2:$E$5)-MIN($E$2:$E$5)+MAX($E$6:$E$8)-MIN($E$6:$E$8)+MAX($E$9:$E$10)-MIN($E$9:$E$10)+MAX($E$11:E15)-MIN($E$11:$E$14)+MAX($E$15:$E$18)-MIN($E$15:$E$18))</f>
        <v>36.049121880364453</v>
      </c>
      <c r="M3" s="3">
        <f>D3/SUM($D$2:$D$5)</f>
        <v>0.27968807564779563</v>
      </c>
      <c r="N3">
        <f t="shared" ref="N3:N4" si="0">AVERAGE($K$2:$K$5)</f>
        <v>217.16954971609664</v>
      </c>
      <c r="O3" cm="1">
        <f t="array" ref="O3">SQRT(SUMPRODUCT($M$2:$M$5,(($K$2:$K$5-$N$2:$N$5)^2)))</f>
        <v>114.58186700892983</v>
      </c>
      <c r="P3">
        <f>$O$2+$O$6+$O$9+$O$11+$O$15</f>
        <v>384.52808264706204</v>
      </c>
      <c r="Q3">
        <f t="shared" ref="Q3:Q18" si="1">O3/P3</f>
        <v>0.29798049136010296</v>
      </c>
    </row>
    <row r="4" spans="1:17" x14ac:dyDescent="0.45">
      <c r="A4" t="s">
        <v>10</v>
      </c>
      <c r="B4" t="s">
        <v>17</v>
      </c>
      <c r="C4" t="s">
        <v>18</v>
      </c>
      <c r="D4">
        <v>2444</v>
      </c>
      <c r="E4">
        <v>0.61890000000000001</v>
      </c>
      <c r="F4">
        <v>256.17</v>
      </c>
      <c r="G4">
        <v>0.66239999999999999</v>
      </c>
      <c r="H4">
        <v>0.25700000000000001</v>
      </c>
      <c r="I4">
        <v>7.7485750460478125E-21</v>
      </c>
      <c r="J4" t="s">
        <v>16</v>
      </c>
      <c r="K4">
        <f>1000*ABS(MAX($E$2:$E$5)-E4)/(MAX($E$2:$E$5)-MIN($E$2:$E$5)+MAX($E$6:$E$8)-MIN($E$6:$E$8)+MAX($E$9:$E$10)-MIN($E$9:$E$10)+MAX($E$11:E16)-MIN($E$11:$E$14)+MAX($E$15:$E$18)-MIN($E$15:$E$18))</f>
        <v>256.17324706193057</v>
      </c>
      <c r="L4">
        <f>1000*ABS(MIN($E$2:$E$5)-E4)/(MAX($E$2:$E$5)-MIN($E$2:$E$5)+MAX($E$6:$E$8)-MIN($E$6:$E$8)+MAX($E$9:$E$10)-MIN($E$9:$E$10)+MAX($E$11:E16)-MIN($E$11:$E$14)+MAX($E$15:$E$18)-MIN($E$15:$E$18))</f>
        <v>68.103789779479726</v>
      </c>
      <c r="M4" s="3">
        <f>D4/SUM($D$2:$D$5)</f>
        <v>7.5033771337344957E-2</v>
      </c>
      <c r="N4">
        <f t="shared" si="0"/>
        <v>217.16954971609664</v>
      </c>
      <c r="O4" cm="1">
        <f t="array" ref="O4">SQRT(SUMPRODUCT($M$2:$M$5,(($K$2:$K$5-$N$2:$N$5)^2)))</f>
        <v>114.58186700892983</v>
      </c>
      <c r="P4">
        <f t="shared" ref="P3:P18" si="2">$O$2+$O$6+$O$9+$O$11+$O$15</f>
        <v>384.52808264706204</v>
      </c>
      <c r="Q4">
        <f t="shared" si="1"/>
        <v>0.29798049136010296</v>
      </c>
    </row>
    <row r="5" spans="1:17" x14ac:dyDescent="0.45">
      <c r="A5" t="s">
        <v>10</v>
      </c>
      <c r="B5" t="s">
        <v>19</v>
      </c>
      <c r="C5" t="s">
        <v>20</v>
      </c>
      <c r="D5">
        <v>3833</v>
      </c>
      <c r="E5">
        <v>2.9468999999999999</v>
      </c>
      <c r="F5">
        <v>0</v>
      </c>
      <c r="G5">
        <v>0.66239999999999999</v>
      </c>
      <c r="H5">
        <v>0.70309999999999995</v>
      </c>
      <c r="I5">
        <v>0</v>
      </c>
      <c r="J5" t="s">
        <v>16</v>
      </c>
      <c r="K5">
        <f>1000*ABS(MAX($E$2:$E$5)-E5)/(MAX($E$2:$E$5)-MIN($E$2:$E$5)+MAX($E$6:$E$8)-MIN($E$6:$E$8)+MAX($E$9:$E$10)-MIN($E$9:$E$10)+MAX($E$11:E17)-MIN($E$11:$E$14)+MAX($E$15:$E$18)-MIN($E$15:$E$18))</f>
        <v>0</v>
      </c>
      <c r="L5">
        <f>1000*ABS(MIN($E$2:$E$5)-E5)/(MAX($E$2:$E$5)-MIN($E$2:$E$5)+MAX($E$6:$E$8)-MIN($E$6:$E$8)+MAX($E$9:$E$10)-MIN($E$9:$E$10)+MAX($E$11:E17)-MIN($E$11:$E$14)+MAX($E$15:$E$18)-MIN($E$15:$E$18))</f>
        <v>324.27703684141022</v>
      </c>
      <c r="M5" s="3">
        <f>D5/SUM($D$2:$D$5)</f>
        <v>0.11767776003929756</v>
      </c>
      <c r="N5">
        <f>AVERAGE($K$2:$K$5)</f>
        <v>217.16954971609664</v>
      </c>
      <c r="O5" cm="1">
        <f t="array" ref="O5">SQRT(SUMPRODUCT($M$2:$M$5,(($K$2:$K$5-$N$2:$N$5)^2)))</f>
        <v>114.58186700892983</v>
      </c>
      <c r="P5">
        <f t="shared" si="2"/>
        <v>384.52808264706204</v>
      </c>
      <c r="Q5">
        <f t="shared" si="1"/>
        <v>0.29798049136010296</v>
      </c>
    </row>
    <row r="6" spans="1:17" x14ac:dyDescent="0.45">
      <c r="A6" t="s">
        <v>21</v>
      </c>
      <c r="B6" t="s">
        <v>22</v>
      </c>
      <c r="C6" t="s">
        <v>23</v>
      </c>
      <c r="D6">
        <v>2584</v>
      </c>
      <c r="E6">
        <v>0</v>
      </c>
      <c r="F6">
        <v>285.63</v>
      </c>
      <c r="G6">
        <v>0.52790000000000004</v>
      </c>
      <c r="H6">
        <v>7.4700000000000003E-2</v>
      </c>
      <c r="I6" t="s">
        <v>13</v>
      </c>
      <c r="J6" t="s">
        <v>13</v>
      </c>
      <c r="K6">
        <f xml:space="preserve"> 1000*ABS(MAX($E$6:$E$8)-E6)/(MAX($E$2:$E$5)-MIN($E$2:$E$5)+MAX($E$6:$E$8)-MIN($E$6:$E$8)+MAX($E$9:$E$10)-MIN($E$9:$E$10)+MAX($E$11:E17)-MIN($E$11:$E$14)+MAX($E$15:$E$18)-MIN($E$15:$E$18))</f>
        <v>285.63096967296093</v>
      </c>
      <c r="L6">
        <f xml:space="preserve"> 1000*ABS(MIN($E$6:$E$8)-E6)/(MAX($E$2:$E$5)-MIN($E$2:$E$5)+MAX($E$6:$E$8)-MIN($E$6:$E$8)+MAX($E$9:$E$10)-MIN($E$9:$E$10)+MAX($E$11:E17)-MIN($E$11:$E$14)+MAX($E$15:$E$18)-MIN($E$15:$E$18))</f>
        <v>0</v>
      </c>
      <c r="M6" s="3">
        <f t="shared" ref="M6:M18" si="3">D6/SUM($D$2:$D$5)</f>
        <v>7.9331941544885182E-2</v>
      </c>
      <c r="N6">
        <f>AVERAGE($K$6:$K$8)</f>
        <v>128.43875170562083</v>
      </c>
      <c r="O6" cm="1">
        <f t="array" ref="O6">SQRT(SUMPRODUCT($M$6:$M$8,(($K$6:$K$8-$N$6:$N$8)^2)))</f>
        <v>103.3530594581561</v>
      </c>
      <c r="P6">
        <f t="shared" si="2"/>
        <v>384.52808264706204</v>
      </c>
      <c r="Q6">
        <f t="shared" si="1"/>
        <v>0.26877896341583563</v>
      </c>
    </row>
    <row r="7" spans="1:17" x14ac:dyDescent="0.45">
      <c r="A7" t="s">
        <v>21</v>
      </c>
      <c r="B7" t="s">
        <v>24</v>
      </c>
      <c r="C7" t="s">
        <v>25</v>
      </c>
      <c r="D7">
        <v>13441</v>
      </c>
      <c r="E7">
        <v>1.6898</v>
      </c>
      <c r="F7">
        <v>99.69</v>
      </c>
      <c r="G7">
        <v>0.52790000000000004</v>
      </c>
      <c r="H7">
        <v>0.12570000000000001</v>
      </c>
      <c r="I7">
        <v>6.5969182691000559E-52</v>
      </c>
      <c r="J7" t="s">
        <v>16</v>
      </c>
      <c r="K7">
        <f xml:space="preserve"> 1000*ABS(MAX($E$6:$E$8)-E7)/(MAX($E$2:$E$5)-MIN($E$2:$E$5)+MAX($E$6:$E$8)-MIN($E$6:$E$8)+MAX($E$9:$E$10)-MIN($E$9:$E$10)+MAX($E$11:E18)-MIN($E$11:$E$14)+MAX($E$15:$E$18)-MIN($E$15:$E$18))</f>
        <v>99.685285443901577</v>
      </c>
      <c r="L7">
        <f xml:space="preserve"> 1000*ABS(MIN($E$6:$E$8)-E7)/(MAX($E$2:$E$5)-MIN($E$2:$E$5)+MAX($E$6:$E$8)-MIN($E$6:$E$8)+MAX($E$9:$E$10)-MIN($E$9:$E$10)+MAX($E$11:E18)-MIN($E$11:$E$14)+MAX($E$15:$E$18)-MIN($E$15:$E$18))</f>
        <v>185.94568422905937</v>
      </c>
      <c r="M7" s="3">
        <f t="shared" si="3"/>
        <v>0.41265504113962914</v>
      </c>
      <c r="N7">
        <f t="shared" ref="N7:N8" si="4">AVERAGE($K$6:$K$8)</f>
        <v>128.43875170562083</v>
      </c>
      <c r="O7" cm="1">
        <f t="array" ref="O7">SQRT(SUMPRODUCT($M$6:$M$8,(($K$6:$K$8-$N$6:$N$8)^2)))</f>
        <v>103.3530594581561</v>
      </c>
      <c r="P7">
        <f t="shared" si="2"/>
        <v>384.52808264706204</v>
      </c>
      <c r="Q7">
        <f t="shared" si="1"/>
        <v>0.26877896341583563</v>
      </c>
    </row>
    <row r="8" spans="1:17" x14ac:dyDescent="0.45">
      <c r="A8" t="s">
        <v>21</v>
      </c>
      <c r="B8" t="s">
        <v>26</v>
      </c>
      <c r="C8" t="s">
        <v>27</v>
      </c>
      <c r="D8">
        <v>16547</v>
      </c>
      <c r="E8">
        <v>2.5956999999999999</v>
      </c>
      <c r="F8">
        <v>0</v>
      </c>
      <c r="G8">
        <v>0.52790000000000004</v>
      </c>
      <c r="H8">
        <v>0.31569999999999998</v>
      </c>
      <c r="I8">
        <v>8.0920482729738154E-128</v>
      </c>
      <c r="J8" t="s">
        <v>16</v>
      </c>
      <c r="K8">
        <f xml:space="preserve"> 1000*ABS(MAX($E$6:$E$8)-E8)/(MAX($E$2:$E$5)-MIN($E$2:$E$5)+MAX($E$6:$E$8)-MIN($E$6:$E$8)+MAX($E$9:$E$10)-MIN($E$9:$E$10)+MAX($E$11:E19)-MIN($E$11:$E$14)+MAX($E$15:$E$18)-MIN($E$15:$E$18))</f>
        <v>0</v>
      </c>
      <c r="L8">
        <f xml:space="preserve"> 1000*ABS(MIN($E$6:$E$8)-E8)/(MAX($E$2:$E$5)-MIN($E$2:$E$5)+MAX($E$6:$E$8)-MIN($E$6:$E$8)+MAX($E$9:$E$10)-MIN($E$9:$E$10)+MAX($E$11:E19)-MIN($E$11:$E$14)+MAX($E$15:$E$18)-MIN($E$15:$E$18))</f>
        <v>285.63096967296093</v>
      </c>
      <c r="M8" s="3">
        <f t="shared" si="3"/>
        <v>0.50801301731548565</v>
      </c>
      <c r="N8">
        <f t="shared" si="4"/>
        <v>128.43875170562083</v>
      </c>
      <c r="O8" cm="1">
        <f t="array" ref="O8">SQRT(SUMPRODUCT($M$6:$M$8,(($K$6:$K$8-$N$6:$N$8)^2)))</f>
        <v>103.3530594581561</v>
      </c>
      <c r="P8">
        <f t="shared" si="2"/>
        <v>384.52808264706204</v>
      </c>
      <c r="Q8">
        <f t="shared" si="1"/>
        <v>0.26877896341583563</v>
      </c>
    </row>
    <row r="9" spans="1:17" x14ac:dyDescent="0.45">
      <c r="A9" t="s">
        <v>28</v>
      </c>
      <c r="B9" t="s">
        <v>29</v>
      </c>
      <c r="C9" t="s">
        <v>23</v>
      </c>
      <c r="D9">
        <v>26829</v>
      </c>
      <c r="E9">
        <v>0</v>
      </c>
      <c r="F9">
        <v>129.37</v>
      </c>
      <c r="G9">
        <v>0.32269999999999999</v>
      </c>
      <c r="H9">
        <v>0.184</v>
      </c>
      <c r="I9" t="s">
        <v>13</v>
      </c>
      <c r="J9" t="s">
        <v>13</v>
      </c>
      <c r="K9">
        <f>1000* ABS(MAX($E$9:$E$10)-E9)/(MAX($E$2:$E$5)-MIN($E$2:$E$5)+MAX($E$6:$E$8)-MIN($E$6:$E$8)+MAX($E$9:$E$10)-MIN($E$9:$E$10)+MAX($E$11:E18)-MIN($E$11:$E$14)+MAX($E$15:$E$18)-MIN($E$15:$E$18))</f>
        <v>129.37409216954973</v>
      </c>
      <c r="L9">
        <f>1000* ABS(MIN($E$9:$E$10)-E9)/(MAX($E$2:$E$5)-MIN($E$2:$E$5)+MAX($E$6:$E$8)-MIN($E$6:$E$8)+MAX($E$9:$E$10)-MIN($E$9:$E$10)+MAX($E$11:E18)-MIN($E$11:$E$14)+MAX($E$15:$E$18)-MIN($E$15:$E$18))</f>
        <v>0</v>
      </c>
      <c r="M9" s="3">
        <f t="shared" si="3"/>
        <v>0.82368291784354664</v>
      </c>
      <c r="N9">
        <f>AVERAGE($K$9:$K$10)</f>
        <v>64.687046084774863</v>
      </c>
      <c r="O9" cm="1">
        <f t="array" ref="O9">SQRT(SUMPRODUCT($M$9:$M$10,(($K$9:$K$10-$N$9:$N$10)^2)))</f>
        <v>64.687046084774863</v>
      </c>
      <c r="P9">
        <f t="shared" si="2"/>
        <v>384.52808264706204</v>
      </c>
      <c r="Q9">
        <f t="shared" si="1"/>
        <v>0.16822450427930818</v>
      </c>
    </row>
    <row r="10" spans="1:17" x14ac:dyDescent="0.45">
      <c r="A10" t="s">
        <v>28</v>
      </c>
      <c r="B10" t="s">
        <v>30</v>
      </c>
      <c r="C10" t="s">
        <v>25</v>
      </c>
      <c r="D10">
        <v>5743</v>
      </c>
      <c r="E10">
        <v>1.1757</v>
      </c>
      <c r="F10">
        <v>0</v>
      </c>
      <c r="G10">
        <v>0.32269999999999999</v>
      </c>
      <c r="H10">
        <v>0.378</v>
      </c>
      <c r="I10">
        <v>1.9211075024748111E-161</v>
      </c>
      <c r="J10" t="s">
        <v>16</v>
      </c>
      <c r="K10">
        <f>1000* ABS(MAX($E$9:$E$10)-E10)/(MAX($E$2:$E$5)-MIN($E$2:$E$5)+MAX($E$6:$E$8)-MIN($E$6:$E$8)+MAX($E$9:$E$10)-MIN($E$9:$E$10)+MAX($E$11:E19)-MIN($E$11:$E$14)+MAX($E$15:$E$18)-MIN($E$15:$E$18))</f>
        <v>0</v>
      </c>
      <c r="L10">
        <f>1000* ABS(MIN($E$9:$E$10)-E10)/(MAX($E$2:$E$5)-MIN($E$2:$E$5)+MAX($E$6:$E$8)-MIN($E$6:$E$8)+MAX($E$9:$E$10)-MIN($E$9:$E$10)+MAX($E$11:E19)-MIN($E$11:$E$14)+MAX($E$15:$E$18)-MIN($E$15:$E$18))</f>
        <v>129.37409216954973</v>
      </c>
      <c r="M10" s="3">
        <f t="shared" si="3"/>
        <v>0.17631708215645339</v>
      </c>
      <c r="N10">
        <f>AVERAGE($K$9:$K$10)</f>
        <v>64.687046084774863</v>
      </c>
      <c r="O10" cm="1">
        <f t="array" ref="O10">SQRT(SUMPRODUCT($M$9:$M$10,(($K$9:$K$10-$N$9:$N$10)^2)))</f>
        <v>64.687046084774863</v>
      </c>
      <c r="P10">
        <f t="shared" si="2"/>
        <v>384.52808264706204</v>
      </c>
      <c r="Q10">
        <f t="shared" si="1"/>
        <v>0.16822450427930818</v>
      </c>
    </row>
    <row r="11" spans="1:17" x14ac:dyDescent="0.45">
      <c r="A11" t="s">
        <v>31</v>
      </c>
      <c r="B11" t="s">
        <v>32</v>
      </c>
      <c r="C11" t="s">
        <v>33</v>
      </c>
      <c r="D11">
        <v>3259</v>
      </c>
      <c r="E11">
        <v>1.3958999999999999</v>
      </c>
      <c r="F11">
        <v>0</v>
      </c>
      <c r="G11">
        <v>0.32179999999999997</v>
      </c>
      <c r="H11">
        <v>0.47410000000000002</v>
      </c>
      <c r="I11">
        <v>3.7135390871664136E-108</v>
      </c>
      <c r="J11" t="s">
        <v>16</v>
      </c>
      <c r="K11">
        <f>1000* ABS(MAX($E$11:$E$14)-E11)/(MAX($E$2:$E$5)-MIN($E$2:$E$5)+MAX($E$6:$E$8)-MIN($E$6:$E$8)+MAX($E$9:$E$10)-MIN($E$9:$E$10)+MAX($E$11:E20)-MIN($E$11:$E$14)+MAX($E$15:$E$18)-MIN($E$15:$E$18))</f>
        <v>0</v>
      </c>
      <c r="L11">
        <f>1000* ABS(MIN($E$11:$E$14)-E11)/(MAX($E$2:$E$5)-MIN($E$2:$E$5)+MAX($E$6:$E$8)-MIN($E$6:$E$8)+MAX($E$9:$E$10)-MIN($E$9:$E$10)+MAX($E$11:E20)-MIN($E$11:$E$14)+MAX($E$15:$E$18)-MIN($E$15:$E$18))</f>
        <v>153.60491218803642</v>
      </c>
      <c r="M11" s="3">
        <f t="shared" si="3"/>
        <v>0.10005526218838266</v>
      </c>
      <c r="N11">
        <f>AVERAGE($K$11:$K$14)</f>
        <v>83.575421453409035</v>
      </c>
      <c r="O11" cm="1">
        <f t="array" ref="O11">SQRT(SUMPRODUCT($M$11:$M$14,(($K$11:$K$14-$N$11:$N$14)^2)))</f>
        <v>60.073210185146728</v>
      </c>
      <c r="P11">
        <f t="shared" si="2"/>
        <v>384.52808264706204</v>
      </c>
      <c r="Q11">
        <f t="shared" si="1"/>
        <v>0.15622580741465572</v>
      </c>
    </row>
    <row r="12" spans="1:17" x14ac:dyDescent="0.45">
      <c r="A12" t="s">
        <v>31</v>
      </c>
      <c r="B12" t="s">
        <v>34</v>
      </c>
      <c r="C12" t="s">
        <v>35</v>
      </c>
      <c r="D12">
        <v>3370</v>
      </c>
      <c r="E12">
        <v>0.93189999999999995</v>
      </c>
      <c r="F12">
        <v>51.06</v>
      </c>
      <c r="G12">
        <v>0.32179999999999997</v>
      </c>
      <c r="H12">
        <v>0.3926</v>
      </c>
      <c r="I12">
        <v>3.7535999369993922E-51</v>
      </c>
      <c r="J12" t="s">
        <v>16</v>
      </c>
      <c r="K12">
        <f>1000* ABS(MAX($E$11:$E$14)-E12)/(MAX($E$2:$E$5)-MIN($E$2:$E$5)+MAX($E$6:$E$8)-MIN($E$6:$E$8)+MAX($E$9:$E$10)-MIN($E$9:$E$10)+MAX($E$11:E21)-MIN($E$11:$E$14)+MAX($E$15:$E$18)-MIN($E$15:$E$18))</f>
        <v>51.058585325058317</v>
      </c>
      <c r="L12">
        <f>1000* ABS(MIN($E$11:$E$14)-E12)/(MAX($E$2:$E$5)-MIN($E$2:$E$5)+MAX($E$6:$E$8)-MIN($E$6:$E$8)+MAX($E$9:$E$10)-MIN($E$9:$E$10)+MAX($E$11:E21)-MIN($E$11:$E$14)+MAX($E$15:$E$18)-MIN($E$15:$E$18))</f>
        <v>102.54632686297812</v>
      </c>
      <c r="M12" s="3">
        <f t="shared" si="3"/>
        <v>0.1034630971386467</v>
      </c>
      <c r="N12">
        <f t="shared" ref="N12:N14" si="5">AVERAGE($K$11:$K$14)</f>
        <v>83.575421453409035</v>
      </c>
      <c r="O12" cm="1">
        <f t="array" ref="O12">SQRT(SUMPRODUCT($M$11:$M$14,(($K$11:$K$14-$N$11:$N$14)^2)))</f>
        <v>60.073210185146728</v>
      </c>
      <c r="P12">
        <f t="shared" si="2"/>
        <v>384.52808264706204</v>
      </c>
      <c r="Q12">
        <f t="shared" si="1"/>
        <v>0.15622580741465572</v>
      </c>
    </row>
    <row r="13" spans="1:17" x14ac:dyDescent="0.45">
      <c r="A13" t="s">
        <v>31</v>
      </c>
      <c r="B13" t="s">
        <v>36</v>
      </c>
      <c r="C13" t="s">
        <v>37</v>
      </c>
      <c r="D13">
        <v>12942</v>
      </c>
      <c r="E13">
        <v>0.21779999999999999</v>
      </c>
      <c r="F13">
        <v>129.63999999999999</v>
      </c>
      <c r="G13">
        <v>0.32179999999999997</v>
      </c>
      <c r="H13">
        <v>0.20849999999999999</v>
      </c>
      <c r="I13">
        <v>3.1528406437564812E-6</v>
      </c>
      <c r="J13" t="s">
        <v>16</v>
      </c>
      <c r="K13">
        <f>1000* ABS(MAX($E$11:$E$14)-E13)/(MAX($E$2:$E$5)-MIN($E$2:$E$5)+MAX($E$6:$E$8)-MIN($E$6:$E$8)+MAX($E$9:$E$10)-MIN($E$9:$E$10)+MAX($E$11:E22)-MIN($E$11:$E$14)+MAX($E$15:$E$18)-MIN($E$15:$E$18))</f>
        <v>129.63818830054137</v>
      </c>
      <c r="L13">
        <f>1000* ABS(MIN($E$11:$E$14)-E13)/(MAX($E$2:$E$5)-MIN($E$2:$E$5)+MAX($E$6:$E$8)-MIN($E$6:$E$8)+MAX($E$9:$E$10)-MIN($E$9:$E$10)+MAX($E$11:E22)-MIN($E$11:$E$14)+MAX($E$15:$E$18)-MIN($E$15:$E$18))</f>
        <v>23.966723887495046</v>
      </c>
      <c r="M13" s="3">
        <f t="shared" si="3"/>
        <v>0.39733513447132507</v>
      </c>
      <c r="N13">
        <f t="shared" si="5"/>
        <v>83.575421453409035</v>
      </c>
      <c r="O13" cm="1">
        <f t="array" ref="O13">SQRT(SUMPRODUCT($M$11:$M$14,(($K$11:$K$14-$N$11:$N$14)^2)))</f>
        <v>60.073210185146728</v>
      </c>
      <c r="P13">
        <f t="shared" si="2"/>
        <v>384.52808264706204</v>
      </c>
      <c r="Q13">
        <f t="shared" si="1"/>
        <v>0.15622580741465572</v>
      </c>
    </row>
    <row r="14" spans="1:17" x14ac:dyDescent="0.45">
      <c r="A14" t="s">
        <v>31</v>
      </c>
      <c r="B14" t="s">
        <v>38</v>
      </c>
      <c r="C14" t="s">
        <v>39</v>
      </c>
      <c r="D14">
        <v>13001</v>
      </c>
      <c r="E14">
        <v>0</v>
      </c>
      <c r="F14">
        <v>153.61000000000001</v>
      </c>
      <c r="G14">
        <v>0.32179999999999997</v>
      </c>
      <c r="H14">
        <v>0.11849999999999999</v>
      </c>
      <c r="I14" t="s">
        <v>13</v>
      </c>
      <c r="J14" t="s">
        <v>13</v>
      </c>
      <c r="K14">
        <f>1000* ABS(MAX($E$11:$E$14)-E14)/(MAX($E$2:$E$5)-MIN($E$2:$E$5)+MAX($E$6:$E$8)-MIN($E$6:$E$8)+MAX($E$9:$E$10)-MIN($E$9:$E$10)+MAX($E$11:E23)-MIN($E$11:$E$14)+MAX($E$15:$E$18)-MIN($E$15:$E$18))</f>
        <v>153.60491218803642</v>
      </c>
      <c r="L14">
        <f>1000* ABS(MIN($E$11:$E$14)-E14)/(MAX($E$2:$E$5)-MIN($E$2:$E$5)+MAX($E$6:$E$8)-MIN($E$6:$E$8)+MAX($E$9:$E$10)-MIN($E$9:$E$10)+MAX($E$11:E23)-MIN($E$11:$E$14)+MAX($E$15:$E$18)-MIN($E$15:$E$18))</f>
        <v>0</v>
      </c>
      <c r="M14" s="3">
        <f t="shared" si="3"/>
        <v>0.3991465062016456</v>
      </c>
      <c r="N14">
        <f t="shared" si="5"/>
        <v>83.575421453409035</v>
      </c>
      <c r="O14" cm="1">
        <f t="array" ref="O14">SQRT(SUMPRODUCT($M$11:$M$14,(($K$11:$K$14-$N$11:$N$14)^2)))</f>
        <v>60.073210185146728</v>
      </c>
      <c r="P14">
        <f t="shared" si="2"/>
        <v>384.52808264706204</v>
      </c>
      <c r="Q14">
        <f t="shared" si="1"/>
        <v>0.15622580741465572</v>
      </c>
    </row>
    <row r="15" spans="1:17" x14ac:dyDescent="0.45">
      <c r="A15" t="s">
        <v>40</v>
      </c>
      <c r="B15" t="s">
        <v>41</v>
      </c>
      <c r="C15" t="s">
        <v>23</v>
      </c>
      <c r="D15">
        <v>5212</v>
      </c>
      <c r="E15">
        <v>0.97340000000000004</v>
      </c>
      <c r="F15">
        <v>0</v>
      </c>
      <c r="G15">
        <v>0.2737</v>
      </c>
      <c r="H15">
        <v>0.28589999999999999</v>
      </c>
      <c r="I15">
        <v>4.5468243597474618E-47</v>
      </c>
      <c r="J15" t="s">
        <v>16</v>
      </c>
      <c r="K15">
        <f>1000* ABS(MAX($E$15:$E$18)-E15)/(MAX($E$2:$E$5)-MIN($E$2:$E$5)+MAX($E$6:$E$8)-MIN($E$6:$E$8)+MAX($E$9:$E$10)-MIN($E$9:$E$10)+MAX($E$11:E24)-MIN($E$11:$E$14)+MAX($E$15:$E$18)-MIN($E$15:$E$18))</f>
        <v>0</v>
      </c>
      <c r="L15">
        <f>1000* ABS(MIN($E$15:$E$18)-E15)/(MAX($E$2:$E$5)-MIN($E$2:$E$5)+MAX($E$6:$E$8)-MIN($E$6:$E$8)+MAX($E$9:$E$10)-MIN($E$9:$E$10)+MAX($E$11:E24)-MIN($E$11:$E$14)+MAX($E$15:$E$18)-MIN($E$15:$E$18))</f>
        <v>107.11298912804261</v>
      </c>
      <c r="M15" s="3">
        <f t="shared" si="3"/>
        <v>0.16001473658356871</v>
      </c>
      <c r="N15">
        <f>AVERAGE($K$15:$K$18)</f>
        <v>47.102645362912099</v>
      </c>
      <c r="O15" cm="1">
        <f t="array" ref="O15">SQRT(SUMPRODUCT($M$15:$M$18,(($K$15:$K$18-$N$15:$N$18)^2)))</f>
        <v>41.832899910054543</v>
      </c>
      <c r="P15">
        <f t="shared" si="2"/>
        <v>384.52808264706204</v>
      </c>
      <c r="Q15">
        <f t="shared" si="1"/>
        <v>0.10879023353009758</v>
      </c>
    </row>
    <row r="16" spans="1:17" x14ac:dyDescent="0.45">
      <c r="A16" t="s">
        <v>40</v>
      </c>
      <c r="B16" t="s">
        <v>42</v>
      </c>
      <c r="C16" t="s">
        <v>25</v>
      </c>
      <c r="D16">
        <v>9675</v>
      </c>
      <c r="E16">
        <v>0.91259999999999997</v>
      </c>
      <c r="F16">
        <v>6.7</v>
      </c>
      <c r="G16">
        <v>0.2737</v>
      </c>
      <c r="H16">
        <v>0.26479999999999998</v>
      </c>
      <c r="I16">
        <v>3.725452876454999E-50</v>
      </c>
      <c r="J16" t="s">
        <v>16</v>
      </c>
      <c r="K16">
        <f>1000* ABS(MAX($E$15:$E$18)-E16)/(MAX($E$2:$E$5)-MIN($E$2:$E$5)+MAX($E$6:$E$8)-MIN($E$6:$E$8)+MAX($E$9:$E$10)-MIN($E$9:$E$10)+MAX($E$11:E25)-MIN($E$11:$E$14)+MAX($E$15:$E$18)-MIN($E$15:$E$18))</f>
        <v>6.6904353184559264</v>
      </c>
      <c r="L16">
        <f>1000* ABS(MIN($E$15:$E$18)-E16)/(MAX($E$2:$E$5)-MIN($E$2:$E$5)+MAX($E$6:$E$8)-MIN($E$6:$E$8)+MAX($E$9:$E$10)-MIN($E$9:$E$10)+MAX($E$11:E25)-MIN($E$11:$E$14)+MAX($E$15:$E$18)-MIN($E$15:$E$18))</f>
        <v>100.42255380958669</v>
      </c>
      <c r="M16" s="3">
        <f t="shared" si="3"/>
        <v>0.29703426255679727</v>
      </c>
      <c r="N16">
        <f t="shared" ref="N16:N18" si="6">AVERAGE($K$15:$K$18)</f>
        <v>47.102645362912099</v>
      </c>
      <c r="O16" cm="1">
        <f t="array" ref="O16">SQRT(SUMPRODUCT($M$15:$M$18,(($K$15:$K$18-$N$15:$N$18)^2)))</f>
        <v>41.832899910054543</v>
      </c>
      <c r="P16">
        <f t="shared" si="2"/>
        <v>384.52808264706204</v>
      </c>
      <c r="Q16">
        <f t="shared" si="1"/>
        <v>0.10879023353009758</v>
      </c>
    </row>
    <row r="17" spans="1:17" x14ac:dyDescent="0.45">
      <c r="A17" t="s">
        <v>40</v>
      </c>
      <c r="B17" t="s">
        <v>43</v>
      </c>
      <c r="C17" t="s">
        <v>27</v>
      </c>
      <c r="D17">
        <v>11970</v>
      </c>
      <c r="E17">
        <v>0.2954</v>
      </c>
      <c r="F17">
        <v>74.62</v>
      </c>
      <c r="G17">
        <v>0.2737</v>
      </c>
      <c r="H17">
        <v>0.1845</v>
      </c>
      <c r="I17">
        <v>1.3999189885296359E-6</v>
      </c>
      <c r="J17" t="s">
        <v>16</v>
      </c>
      <c r="K17">
        <f>1000* ABS(MAX($E$15:$E$18)-E17)/(MAX($E$2:$E$5)-MIN($E$2:$E$5)+MAX($E$6:$E$8)-MIN($E$6:$E$8)+MAX($E$9:$E$10)-MIN($E$9:$E$10)+MAX($E$11:E26)-MIN($E$11:$E$14)+MAX($E$15:$E$18)-MIN($E$15:$E$18))</f>
        <v>74.607157005149872</v>
      </c>
      <c r="L17">
        <f>1000* ABS(MIN($E$15:$E$18)-E17)/(MAX($E$2:$E$5)-MIN($E$2:$E$5)+MAX($E$6:$E$8)-MIN($E$6:$E$8)+MAX($E$9:$E$10)-MIN($E$9:$E$10)+MAX($E$11:E26)-MIN($E$11:$E$14)+MAX($E$15:$E$18)-MIN($E$15:$E$18))</f>
        <v>32.505832122892727</v>
      </c>
      <c r="M17" s="3">
        <f t="shared" si="3"/>
        <v>0.3674935527446887</v>
      </c>
      <c r="N17">
        <f t="shared" si="6"/>
        <v>47.102645362912099</v>
      </c>
      <c r="O17" cm="1">
        <f t="array" ref="O17">SQRT(SUMPRODUCT($M$15:$M$18,(($K$15:$K$18-$N$15:$N$18)^2)))</f>
        <v>41.832899910054543</v>
      </c>
      <c r="P17">
        <f t="shared" si="2"/>
        <v>384.52808264706204</v>
      </c>
      <c r="Q17">
        <f t="shared" si="1"/>
        <v>0.10879023353009758</v>
      </c>
    </row>
    <row r="18" spans="1:17" x14ac:dyDescent="0.45">
      <c r="A18" t="s">
        <v>40</v>
      </c>
      <c r="B18" t="s">
        <v>44</v>
      </c>
      <c r="C18" t="s">
        <v>45</v>
      </c>
      <c r="D18">
        <v>5715</v>
      </c>
      <c r="E18">
        <v>0</v>
      </c>
      <c r="F18">
        <v>107.12</v>
      </c>
      <c r="G18">
        <v>0.2737</v>
      </c>
      <c r="H18">
        <v>0.1482</v>
      </c>
      <c r="I18" t="s">
        <v>13</v>
      </c>
      <c r="J18" t="s">
        <v>13</v>
      </c>
      <c r="K18">
        <f>1000* ABS(MAX($E$15:$E$18)-E18)/(MAX($E$2:$E$5)-MIN($E$2:$E$5)+MAX($E$6:$E$8)-MIN($E$6:$E$8)+MAX($E$9:$E$10)-MIN($E$9:$E$10)+MAX($E$11:E27)-MIN($E$11:$E$14)+MAX($E$15:$E$18)-MIN($E$15:$E$18))</f>
        <v>107.11298912804261</v>
      </c>
      <c r="L18">
        <f>1000* ABS(MIN($E$15:$E$18)-E18)/(MAX($E$2:$E$5)-MIN($E$2:$E$5)+MAX($E$6:$E$8)-MIN($E$6:$E$8)+MAX($E$9:$E$10)-MIN($E$9:$E$10)+MAX($E$11:E27)-MIN($E$11:$E$14)+MAX($E$15:$E$18)-MIN($E$15:$E$18))</f>
        <v>0</v>
      </c>
      <c r="M18" s="3">
        <f t="shared" si="3"/>
        <v>0.17545744811494535</v>
      </c>
      <c r="N18">
        <f t="shared" si="6"/>
        <v>47.102645362912099</v>
      </c>
      <c r="O18" cm="1">
        <f t="array" ref="O18">SQRT(SUMPRODUCT($M$15:$M$18,(($K$15:$K$18-$N$15:$N$18)^2)))</f>
        <v>41.832899910054543</v>
      </c>
      <c r="P18">
        <f t="shared" si="2"/>
        <v>384.52808264706204</v>
      </c>
      <c r="Q18">
        <f t="shared" si="1"/>
        <v>0.10879023353009758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 Dutauziet</cp:lastModifiedBy>
  <dcterms:created xsi:type="dcterms:W3CDTF">2025-12-31T16:34:12Z</dcterms:created>
  <dcterms:modified xsi:type="dcterms:W3CDTF">2026-01-01T14:26:12Z</dcterms:modified>
</cp:coreProperties>
</file>